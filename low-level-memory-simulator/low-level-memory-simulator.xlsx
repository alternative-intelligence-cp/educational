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Array_Offsets" sheetId="1" r:id="rId1"/>
    <sheet name="2_Struct_Padding" sheetId="2" r:id="rId2"/>
    <sheet name="3_Endianness_Flip" sheetId="3" r:id="rId3"/>
  </sheets>
  <definedNames>
    <definedName name="BaseAddress">1_Array_Offsets!$B$3</definedName>
    <definedName name="ElementWidth">1_Array_Offsets!$B$4</definedName>
    <definedName name="EndianMode">3_Endianness_Flip!$B$2</definedName>
    <definedName name="TargetIndex">1_Array_Offsets!$B$5</definedName>
  </definedNames>
  <calcPr calcId="124519" fullCalcOnLoad="1"/>
</workbook>
</file>

<file path=xl/sharedStrings.xml><?xml version="1.0" encoding="utf-8"?>
<sst xmlns="http://schemas.openxmlformats.org/spreadsheetml/2006/main" count="54" uniqueCount="35">
  <si>
    <t>Base Address:</t>
  </si>
  <si>
    <t>Element Width:</t>
  </si>
  <si>
    <t>Target Index:</t>
  </si>
  <si>
    <t>Target Address:</t>
  </si>
  <si>
    <t>Target Value:</t>
  </si>
  <si>
    <t>Address</t>
  </si>
  <si>
    <t>Offset (Bytes)</t>
  </si>
  <si>
    <t>Index</t>
  </si>
  <si>
    <t>Value (32-bit Int)</t>
  </si>
  <si>
    <t>Visualizing Struct Alignment &amp; Padding</t>
  </si>
  <si>
    <t>Offset</t>
  </si>
  <si>
    <t>Variable</t>
  </si>
  <si>
    <t>Byte Role</t>
  </si>
  <si>
    <t>student.id</t>
  </si>
  <si>
    <t>Data (Char)</t>
  </si>
  <si>
    <t>None</t>
  </si>
  <si>
    <t>Padding</t>
  </si>
  <si>
    <t>student.grade</t>
  </si>
  <si>
    <t>Data (Int - Byte 0)</t>
  </si>
  <si>
    <t>Data (Int - Byte 1)</t>
  </si>
  <si>
    <t>Data (Int - Byte 2)</t>
  </si>
  <si>
    <t>Data (Int - Byte 3)</t>
  </si>
  <si>
    <t>student.age</t>
  </si>
  <si>
    <t>Data (Short - Byte 0)</t>
  </si>
  <si>
    <t>Data (Short - Byte 1)</t>
  </si>
  <si>
    <t>Endian Mode:</t>
  </si>
  <si>
    <t>Big Endian</t>
  </si>
  <si>
    <t>Value in Memory: 0x12345678</t>
  </si>
  <si>
    <t>Byte Value Formula</t>
  </si>
  <si>
    <t>Result (Big Endian)</t>
  </si>
  <si>
    <t>Result (Little Endian)</t>
  </si>
  <si>
    <t>12</t>
  </si>
  <si>
    <t>78</t>
  </si>
  <si>
    <t>34</t>
  </si>
  <si>
    <t>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</si>
</sst>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DDA0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1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D35"/>
  <sheetViews>
    <sheetView tabSelected="1" workbookViewId="0"/>
  </sheetViews>
  <sheetFormatPr defaultRowHeight="15"/>
  <cols>
    <col min="1" max="1" width="20.7109375" customWidth="1"/>
    <col min="2" max="4" width="18.7109375" customWidth="1"/>
  </cols>
  <sheetData>
    <row r="3" spans="1:4">
      <c r="A3" s="1" t="s">
        <v>0</v>
      </c>
      <c r="B3" s="2">
        <v>10000</v>
      </c>
    </row>
    <row r="4" spans="1:4">
      <c r="A4" s="1" t="s">
        <v>1</v>
      </c>
      <c r="B4" s="2">
        <v>4</v>
      </c>
    </row>
    <row r="5" spans="1:4">
      <c r="A5" s="1" t="s">
        <v>2</v>
      </c>
      <c r="B5" s="2">
        <v>2</v>
      </c>
    </row>
    <row r="7" spans="1:4">
      <c r="A7" s="1" t="s">
        <v>3</v>
      </c>
      <c r="B7" s="2">
        <f>BaseAddress + (ElementWidth * TargetIndex)</f>
        <v>0</v>
      </c>
    </row>
    <row r="8" spans="1:4">
      <c r="A8" s="1" t="s">
        <v>4</v>
      </c>
      <c r="B8" s="2">
        <f>OFFSET(D12, ElementWidth * TargetIndex, 0)</f>
        <v>0</v>
      </c>
    </row>
    <row r="11" spans="1:4">
      <c r="A11" s="1" t="s">
        <v>5</v>
      </c>
      <c r="B11" s="1" t="s">
        <v>6</v>
      </c>
      <c r="C11" s="1" t="s">
        <v>7</v>
      </c>
      <c r="D11" s="1" t="s">
        <v>8</v>
      </c>
    </row>
    <row r="12" spans="1:4">
      <c r="A12" s="2">
        <f>BaseAddress + 0</f>
        <v>0</v>
      </c>
      <c r="B12" s="2">
        <v>0</v>
      </c>
      <c r="C12" s="2">
        <f>IF(MOD(0, ElementWidth)=0, 0/ElementWidth, "")</f>
        <v>0</v>
      </c>
      <c r="D12" s="2">
        <v>100</v>
      </c>
    </row>
    <row r="13" spans="1:4">
      <c r="A13" s="2">
        <f>BaseAddress + 1</f>
        <v>0</v>
      </c>
      <c r="B13" s="2">
        <v>1</v>
      </c>
      <c r="C13" s="2">
        <f>IF(MOD(1, ElementWidth)=0, 1/ElementWidth, "")</f>
        <v>0</v>
      </c>
      <c r="D13" s="2"/>
    </row>
    <row r="14" spans="1:4">
      <c r="A14" s="2">
        <f>BaseAddress + 2</f>
        <v>0</v>
      </c>
      <c r="B14" s="2">
        <v>2</v>
      </c>
      <c r="C14" s="2">
        <f>IF(MOD(2, ElementWidth)=0, 2/ElementWidth, "")</f>
        <v>0</v>
      </c>
      <c r="D14" s="2"/>
    </row>
    <row r="15" spans="1:4">
      <c r="A15" s="2">
        <f>BaseAddress + 3</f>
        <v>0</v>
      </c>
      <c r="B15" s="2">
        <v>3</v>
      </c>
      <c r="C15" s="2">
        <f>IF(MOD(3, ElementWidth)=0, 3/ElementWidth, "")</f>
        <v>0</v>
      </c>
      <c r="D15" s="2"/>
    </row>
    <row r="16" spans="1:4">
      <c r="A16" s="2">
        <f>BaseAddress + 4</f>
        <v>0</v>
      </c>
      <c r="B16" s="2">
        <v>4</v>
      </c>
      <c r="C16" s="2">
        <f>IF(MOD(4, ElementWidth)=0, 4/ElementWidth, "")</f>
        <v>0</v>
      </c>
      <c r="D16" s="2">
        <v>200</v>
      </c>
    </row>
    <row r="17" spans="1:4">
      <c r="A17" s="2">
        <f>BaseAddress + 5</f>
        <v>0</v>
      </c>
      <c r="B17" s="2">
        <v>5</v>
      </c>
      <c r="C17" s="2">
        <f>IF(MOD(5, ElementWidth)=0, 5/ElementWidth, "")</f>
        <v>0</v>
      </c>
      <c r="D17" s="2"/>
    </row>
    <row r="18" spans="1:4">
      <c r="A18" s="2">
        <f>BaseAddress + 6</f>
        <v>0</v>
      </c>
      <c r="B18" s="2">
        <v>6</v>
      </c>
      <c r="C18" s="2">
        <f>IF(MOD(6, ElementWidth)=0, 6/ElementWidth, "")</f>
        <v>0</v>
      </c>
      <c r="D18" s="2"/>
    </row>
    <row r="19" spans="1:4">
      <c r="A19" s="2">
        <f>BaseAddress + 7</f>
        <v>0</v>
      </c>
      <c r="B19" s="2">
        <v>7</v>
      </c>
      <c r="C19" s="2">
        <f>IF(MOD(7, ElementWidth)=0, 7/ElementWidth, "")</f>
        <v>0</v>
      </c>
      <c r="D19" s="2"/>
    </row>
    <row r="20" spans="1:4">
      <c r="A20" s="2">
        <f>BaseAddress + 8</f>
        <v>0</v>
      </c>
      <c r="B20" s="2">
        <v>8</v>
      </c>
      <c r="C20" s="2">
        <f>IF(MOD(8, ElementWidth)=0, 8/ElementWidth, "")</f>
        <v>0</v>
      </c>
      <c r="D20" s="2">
        <v>300</v>
      </c>
    </row>
    <row r="21" spans="1:4">
      <c r="A21" s="2">
        <f>BaseAddress + 9</f>
        <v>0</v>
      </c>
      <c r="B21" s="2">
        <v>9</v>
      </c>
      <c r="C21" s="2">
        <f>IF(MOD(9, ElementWidth)=0, 9/ElementWidth, "")</f>
        <v>0</v>
      </c>
      <c r="D21" s="2"/>
    </row>
    <row r="22" spans="1:4">
      <c r="A22" s="2">
        <f>BaseAddress + 10</f>
        <v>0</v>
      </c>
      <c r="B22" s="2">
        <v>10</v>
      </c>
      <c r="C22" s="2">
        <f>IF(MOD(10, ElementWidth)=0, 10/ElementWidth, "")</f>
        <v>0</v>
      </c>
      <c r="D22" s="2"/>
    </row>
    <row r="23" spans="1:4">
      <c r="A23" s="2">
        <f>BaseAddress + 11</f>
        <v>0</v>
      </c>
      <c r="B23" s="2">
        <v>11</v>
      </c>
      <c r="C23" s="2">
        <f>IF(MOD(11, ElementWidth)=0, 11/ElementWidth, "")</f>
        <v>0</v>
      </c>
      <c r="D23" s="2"/>
    </row>
    <row r="24" spans="1:4">
      <c r="A24" s="2">
        <f>BaseAddress + 12</f>
        <v>0</v>
      </c>
      <c r="B24" s="2">
        <v>12</v>
      </c>
      <c r="C24" s="2">
        <f>IF(MOD(12, ElementWidth)=0, 12/ElementWidth, "")</f>
        <v>0</v>
      </c>
      <c r="D24" s="2">
        <v>400</v>
      </c>
    </row>
    <row r="25" spans="1:4">
      <c r="A25" s="2">
        <f>BaseAddress + 13</f>
        <v>0</v>
      </c>
      <c r="B25" s="2">
        <v>13</v>
      </c>
      <c r="C25" s="2">
        <f>IF(MOD(13, ElementWidth)=0, 13/ElementWidth, "")</f>
        <v>0</v>
      </c>
      <c r="D25" s="2"/>
    </row>
    <row r="26" spans="1:4">
      <c r="A26" s="2">
        <f>BaseAddress + 14</f>
        <v>0</v>
      </c>
      <c r="B26" s="2">
        <v>14</v>
      </c>
      <c r="C26" s="2">
        <f>IF(MOD(14, ElementWidth)=0, 14/ElementWidth, "")</f>
        <v>0</v>
      </c>
      <c r="D26" s="2"/>
    </row>
    <row r="27" spans="1:4">
      <c r="A27" s="2">
        <f>BaseAddress + 15</f>
        <v>0</v>
      </c>
      <c r="B27" s="2">
        <v>15</v>
      </c>
      <c r="C27" s="2">
        <f>IF(MOD(15, ElementWidth)=0, 15/ElementWidth, "")</f>
        <v>0</v>
      </c>
      <c r="D27" s="2"/>
    </row>
    <row r="28" spans="1:4">
      <c r="A28" s="2">
        <f>BaseAddress + 16</f>
        <v>0</v>
      </c>
      <c r="B28" s="2">
        <v>16</v>
      </c>
      <c r="C28" s="2">
        <f>IF(MOD(16, ElementWidth)=0, 16/ElementWidth, "")</f>
        <v>0</v>
      </c>
      <c r="D28" s="2">
        <v>500</v>
      </c>
    </row>
    <row r="29" spans="1:4">
      <c r="A29" s="2">
        <f>BaseAddress + 17</f>
        <v>0</v>
      </c>
      <c r="B29" s="2">
        <v>17</v>
      </c>
      <c r="C29" s="2">
        <f>IF(MOD(17, ElementWidth)=0, 17/ElementWidth, "")</f>
        <v>0</v>
      </c>
      <c r="D29" s="2"/>
    </row>
    <row r="30" spans="1:4">
      <c r="A30" s="2">
        <f>BaseAddress + 18</f>
        <v>0</v>
      </c>
      <c r="B30" s="2">
        <v>18</v>
      </c>
      <c r="C30" s="2">
        <f>IF(MOD(18, ElementWidth)=0, 18/ElementWidth, "")</f>
        <v>0</v>
      </c>
      <c r="D30" s="2"/>
    </row>
    <row r="31" spans="1:4">
      <c r="A31" s="2">
        <f>BaseAddress + 19</f>
        <v>0</v>
      </c>
      <c r="B31" s="2">
        <v>19</v>
      </c>
      <c r="C31" s="2">
        <f>IF(MOD(19, ElementWidth)=0, 19/ElementWidth, "")</f>
        <v>0</v>
      </c>
      <c r="D31" s="2"/>
    </row>
    <row r="32" spans="1:4">
      <c r="A32" s="2">
        <f>BaseAddress + 20</f>
        <v>0</v>
      </c>
      <c r="B32" s="2">
        <v>20</v>
      </c>
      <c r="C32" s="2">
        <f>IF(MOD(20, ElementWidth)=0, 20/ElementWidth, "")</f>
        <v>0</v>
      </c>
      <c r="D32" s="2">
        <v>600</v>
      </c>
    </row>
    <row r="33" spans="1:4">
      <c r="A33" s="2">
        <f>BaseAddress + 21</f>
        <v>0</v>
      </c>
      <c r="B33" s="2">
        <v>21</v>
      </c>
      <c r="C33" s="2">
        <f>IF(MOD(21, ElementWidth)=0, 21/ElementWidth, "")</f>
        <v>0</v>
      </c>
      <c r="D33" s="2"/>
    </row>
    <row r="34" spans="1:4">
      <c r="A34" s="2">
        <f>BaseAddress + 22</f>
        <v>0</v>
      </c>
      <c r="B34" s="2">
        <v>22</v>
      </c>
      <c r="C34" s="2">
        <f>IF(MOD(22, ElementWidth)=0, 22/ElementWidth, "")</f>
        <v>0</v>
      </c>
      <c r="D34" s="2"/>
    </row>
    <row r="35" spans="1:4">
      <c r="A35" s="2">
        <f>BaseAddress + 23</f>
        <v>0</v>
      </c>
      <c r="B35" s="2">
        <v>23</v>
      </c>
      <c r="C35" s="2">
        <f>IF(MOD(23, ElementWidth)=0, 23/ElementWidth, "")</f>
        <v>0</v>
      </c>
      <c r="D35" s="2"/>
    </row>
  </sheetData>
  <conditionalFormatting sqref="A12:D35">
    <cfRule type="expression" dxfId="0" priority="1">
      <formula>$B12=(ElementWidth*TargetIndex)</formula>
    </cfRule>
  </conditionalFormatting>
  <dataValidations count="1">
    <dataValidation type="whole" allowBlank="1" showInputMessage="1" showErrorMessage="1" error="Error: Segmentation Fault (Core Dumped)" sqref="B5">
      <formula1>0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2" width="15.7109375" customWidth="1"/>
    <col min="3" max="4" width="30.7109375" customWidth="1"/>
  </cols>
  <sheetData>
    <row r="1" spans="1:4">
      <c r="A1" s="1" t="s">
        <v>9</v>
      </c>
    </row>
    <row r="3" spans="1:4">
      <c r="A3" s="1" t="s">
        <v>5</v>
      </c>
      <c r="B3" s="1" t="s">
        <v>10</v>
      </c>
      <c r="C3" s="1" t="s">
        <v>11</v>
      </c>
      <c r="D3" s="1" t="s">
        <v>12</v>
      </c>
    </row>
    <row r="4" spans="1:4">
      <c r="A4" s="2">
        <v>10000</v>
      </c>
      <c r="B4" s="2">
        <v>0</v>
      </c>
      <c r="C4" s="3" t="s">
        <v>13</v>
      </c>
      <c r="D4" s="3" t="s">
        <v>14</v>
      </c>
    </row>
    <row r="5" spans="1:4">
      <c r="A5" s="2">
        <v>10001</v>
      </c>
      <c r="B5" s="2">
        <v>1</v>
      </c>
      <c r="C5" s="4" t="s">
        <v>15</v>
      </c>
      <c r="D5" s="4" t="s">
        <v>16</v>
      </c>
    </row>
    <row r="6" spans="1:4">
      <c r="A6" s="2">
        <v>10002</v>
      </c>
      <c r="B6" s="2">
        <v>2</v>
      </c>
      <c r="C6" s="4" t="s">
        <v>15</v>
      </c>
      <c r="D6" s="4" t="s">
        <v>16</v>
      </c>
    </row>
    <row r="7" spans="1:4">
      <c r="A7" s="2">
        <v>10003</v>
      </c>
      <c r="B7" s="2">
        <v>3</v>
      </c>
      <c r="C7" s="4" t="s">
        <v>15</v>
      </c>
      <c r="D7" s="4" t="s">
        <v>16</v>
      </c>
    </row>
    <row r="8" spans="1:4">
      <c r="A8" s="2">
        <v>10004</v>
      </c>
      <c r="B8" s="2">
        <v>4</v>
      </c>
      <c r="C8" s="5" t="s">
        <v>17</v>
      </c>
      <c r="D8" s="5" t="s">
        <v>18</v>
      </c>
    </row>
    <row r="9" spans="1:4">
      <c r="A9" s="2">
        <v>10005</v>
      </c>
      <c r="B9" s="2">
        <v>5</v>
      </c>
      <c r="C9" s="5" t="s">
        <v>17</v>
      </c>
      <c r="D9" s="5" t="s">
        <v>19</v>
      </c>
    </row>
    <row r="10" spans="1:4">
      <c r="A10" s="2">
        <v>10006</v>
      </c>
      <c r="B10" s="2">
        <v>6</v>
      </c>
      <c r="C10" s="5" t="s">
        <v>17</v>
      </c>
      <c r="D10" s="5" t="s">
        <v>20</v>
      </c>
    </row>
    <row r="11" spans="1:4">
      <c r="A11" s="2">
        <v>10007</v>
      </c>
      <c r="B11" s="2">
        <v>7</v>
      </c>
      <c r="C11" s="5" t="s">
        <v>17</v>
      </c>
      <c r="D11" s="5" t="s">
        <v>21</v>
      </c>
    </row>
    <row r="12" spans="1:4">
      <c r="A12" s="2">
        <v>10008</v>
      </c>
      <c r="B12" s="2">
        <v>8</v>
      </c>
      <c r="C12" s="6" t="s">
        <v>22</v>
      </c>
      <c r="D12" s="6" t="s">
        <v>23</v>
      </c>
    </row>
    <row r="13" spans="1:4">
      <c r="A13" s="2">
        <v>10009</v>
      </c>
      <c r="B13" s="2">
        <v>9</v>
      </c>
      <c r="C13" s="6" t="s">
        <v>22</v>
      </c>
      <c r="D13" s="6" t="s">
        <v>24</v>
      </c>
    </row>
    <row r="14" spans="1:4">
      <c r="A14" s="2">
        <v>10010</v>
      </c>
      <c r="B14" s="2">
        <v>10</v>
      </c>
      <c r="C14" s="4" t="s">
        <v>15</v>
      </c>
      <c r="D14" s="4" t="s">
        <v>16</v>
      </c>
    </row>
    <row r="15" spans="1:4">
      <c r="A15" s="2">
        <v>10011</v>
      </c>
      <c r="B15" s="2">
        <v>11</v>
      </c>
      <c r="C15" s="4" t="s">
        <v>15</v>
      </c>
      <c r="D15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E10"/>
  <sheetViews>
    <sheetView workbookViewId="0"/>
  </sheetViews>
  <sheetFormatPr defaultRowHeight="15"/>
  <cols>
    <col min="1" max="5" width="25.7109375" customWidth="1"/>
  </cols>
  <sheetData>
    <row r="2" spans="1:5">
      <c r="A2" s="1" t="s">
        <v>25</v>
      </c>
      <c r="B2" s="2" t="s">
        <v>26</v>
      </c>
    </row>
    <row r="4" spans="1:5">
      <c r="A4" s="1" t="s">
        <v>27</v>
      </c>
    </row>
    <row r="6" spans="1:5">
      <c r="A6" s="1" t="s">
        <v>5</v>
      </c>
      <c r="B6" s="1" t="s">
        <v>10</v>
      </c>
      <c r="C6" s="1" t="s">
        <v>28</v>
      </c>
      <c r="D6" s="1" t="s">
        <v>29</v>
      </c>
      <c r="E6" s="1" t="s">
        <v>30</v>
      </c>
    </row>
    <row r="7" spans="1:5">
      <c r="A7" s="2">
        <v>10000</v>
      </c>
      <c r="B7" s="2">
        <v>0</v>
      </c>
      <c r="C7" s="2">
        <f>IF(EndianMode="Big Endian", "12", "78")</f>
        <v>0</v>
      </c>
      <c r="D7" s="2" t="s">
        <v>31</v>
      </c>
      <c r="E7" s="2" t="s">
        <v>32</v>
      </c>
    </row>
    <row r="8" spans="1:5">
      <c r="A8" s="2">
        <v>10001</v>
      </c>
      <c r="B8" s="2">
        <v>1</v>
      </c>
      <c r="C8" s="2">
        <f>IF(EndianMode="Big Endian", "34", "56")</f>
        <v>0</v>
      </c>
      <c r="D8" s="2" t="s">
        <v>33</v>
      </c>
      <c r="E8" s="2" t="s">
        <v>34</v>
      </c>
    </row>
    <row r="9" spans="1:5">
      <c r="A9" s="2">
        <v>10002</v>
      </c>
      <c r="B9" s="2">
        <v>2</v>
      </c>
      <c r="C9" s="2">
        <f>IF(EndianMode="Big Endian", "56", "34")</f>
        <v>0</v>
      </c>
      <c r="D9" s="2" t="s">
        <v>34</v>
      </c>
      <c r="E9" s="2" t="s">
        <v>33</v>
      </c>
    </row>
    <row r="10" spans="1:5">
      <c r="A10" s="2">
        <v>10003</v>
      </c>
      <c r="B10" s="2">
        <v>3</v>
      </c>
      <c r="C10" s="2">
        <f>IF(EndianMode="Big Endian", "78", "12")</f>
        <v>0</v>
      </c>
      <c r="D10" s="2" t="s">
        <v>32</v>
      </c>
      <c r="E10" s="2" t="s">
        <v>31</v>
      </c>
    </row>
  </sheetData>
  <dataValidations count="1">
    <dataValidation type="list" allowBlank="1" showInputMessage="1" showErrorMessage="1" sqref="B2">
      <formula1>"Big Endian,Little Endian"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1_Array_Offsets</vt:lpstr>
      <vt:lpstr>2_Struct_Padding</vt:lpstr>
      <vt:lpstr>3_Endianness_Flip</vt:lpstr>
      <vt:lpstr>BaseAddress</vt:lpstr>
      <vt:lpstr>ElementWidth</vt:lpstr>
      <vt:lpstr>EndianMode</vt:lpstr>
      <vt:lpstr>TargetIndex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2026-07-13T18:10:01Z</dcterms:created>
  <dcterms:modified xsi:type="dcterms:W3CDTF">2026-07-13T18:10:01Z</dcterms:modified>
</cp:coreProperties>
</file>